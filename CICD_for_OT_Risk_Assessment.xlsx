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Summary" sheetId="1" state="visible" r:id="rId3"/>
    <sheet name="Risk Assessment" sheetId="2" state="visible" r:id="rId4"/>
    <sheet name="Mitigation Roadmap" sheetId="3" state="visible" r:id="rId5"/>
    <sheet name="Scoring Model" sheetId="4" state="visible" r:id="rId6"/>
    <sheet name="Source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<sst xmlns="http://schemas.openxmlformats.org/spreadsheetml/2006/main" count="355" uniqueCount="298">
  <si>
    <t xml:space="preserve">Risk Summary</t>
  </si>
  <si>
    <t xml:space="preserve">Risk ID</t>
  </si>
  <si>
    <t xml:space="preserve">Risk scenario</t>
  </si>
  <si>
    <t xml:space="preserve">Risk score</t>
  </si>
  <si>
    <t xml:space="preserve">Risk level</t>
  </si>
  <si>
    <t xml:space="preserve">Count</t>
  </si>
  <si>
    <t xml:space="preserve">Critical</t>
  </si>
  <si>
    <t xml:space="preserve">High</t>
  </si>
  <si>
    <t xml:space="preserve">Medium</t>
  </si>
  <si>
    <t xml:space="preserve">Low</t>
  </si>
  <si>
    <t xml:space="preserve">Total</t>
  </si>
  <si>
    <t xml:space="preserve">CI/CD for OT – Risk Assessment</t>
  </si>
  <si>
    <t xml:space="preserve">Focus: likelihood-driven risk assessment</t>
  </si>
  <si>
    <t xml:space="preserve">STRIDE category</t>
  </si>
  <si>
    <t xml:space="preserve">MITRE TTPs</t>
  </si>
  <si>
    <t xml:space="preserve">Threat scenario</t>
  </si>
  <si>
    <t xml:space="preserve">Potential OT impact</t>
  </si>
  <si>
    <t xml:space="preserve">Primary asset/process</t>
  </si>
  <si>
    <t xml:space="preserve">Business priority</t>
  </si>
  <si>
    <t xml:space="preserve">Likelihood rationale</t>
  </si>
  <si>
    <t xml:space="preserve">Likelihood (1-5)</t>
  </si>
  <si>
    <t xml:space="preserve">Impact (1-5)</t>
  </si>
  <si>
    <t xml:space="preserve">Primary mitigation strategy</t>
  </si>
  <si>
    <t xml:space="preserve">Action owner / notes</t>
  </si>
  <si>
    <t xml:space="preserve">Diagram reference</t>
  </si>
  <si>
    <t xml:space="preserve">R-001</t>
  </si>
  <si>
    <t xml:space="preserve">Unapproved source change made with a stolen developer credential</t>
  </si>
  <si>
    <t xml:space="preserve">Spoofing / Tampering / Repudiation</t>
  </si>
  <si>
    <t xml:space="preserve">T1078 Valid Accounts; T1528 Steal Application Access Token; T1195.002 Compromise Software Supply Chain</t>
  </si>
  <si>
    <t xml:space="preserve">Using a stolen authentication token or session, an attacker pushes or merges code to source control (T01).</t>
  </si>
  <si>
    <t xml:space="preserve">Malicious logic built and shipped to OT workloads as a trusted release.</t>
  </si>
  <si>
    <t xml:space="preserve">Source Control</t>
  </si>
  <si>
    <t xml:space="preserve">Developer tokens and sessions are frequently phished or leaked; one push can reach every site.</t>
  </si>
  <si>
    <t xml:space="preserve">Phishing-resistant MFA, no long-lived PATs, signed commits, branch protection with 4-eyes review, SCM audit log to SIEM.</t>
  </si>
  <si>
    <t xml:space="preserve">DevSecOps / IAM</t>
  </si>
  <si>
    <t xml:space="preserve">AV01 · T01 → Source Control</t>
  </si>
  <si>
    <t xml:space="preserve">R-002</t>
  </si>
  <si>
    <t xml:space="preserve">Erroneous or harmful change introduced by a developer</t>
  </si>
  <si>
    <t xml:space="preserve">Tampering</t>
  </si>
  <si>
    <t xml:space="preserve">N/A – unintentional (no adversary TTP)</t>
  </si>
  <si>
    <t xml:space="preserve">A developer makes an erroneous or harmful change that is merged and released (T03).</t>
  </si>
  <si>
    <t xml:space="preserve">Faulty application behaviour on the line; unplanned downtime or wrong process data.</t>
  </si>
  <si>
    <t xml:space="preserve">Human error is routine; impact depends on review and test depth.</t>
  </si>
  <si>
    <t xml:space="preserve">Branch protection, pull requests with 4-eyes principle, CODEOWNERS on OT-critical paths, required unit/integration tests and SAST.</t>
  </si>
  <si>
    <t xml:space="preserve">Development teams</t>
  </si>
  <si>
    <t xml:space="preserve">AV02 · T03 → Source Control</t>
  </si>
  <si>
    <t xml:space="preserve">R-003</t>
  </si>
  <si>
    <t xml:space="preserve">Source control or CI pipeline tools unavailable during an urgent OT patch</t>
  </si>
  <si>
    <t xml:space="preserve">Denial of Service</t>
  </si>
  <si>
    <t xml:space="preserve">T1499 Endpoint Denial of Service; T1498 Network Denial of Service</t>
  </si>
  <si>
    <t xml:space="preserve">A DDoS or outage against central SCM/CI services prevents building and releasing a fix.</t>
  </si>
  <si>
    <t xml:space="preserve">Unable to patch OT systems for the duration of the downtime; prolonged exposure to an active CVE.</t>
  </si>
  <si>
    <t xml:space="preserve">Source Control / CI Pipeline</t>
  </si>
  <si>
    <t xml:space="preserve">Running OT workloads do not depend on central CI, so only urgent changes are affected.</t>
  </si>
  <si>
    <t xml:space="preserve">HA and backups for SCM/CI, documented break-glass build path, site keeps last approved releases for rollback.</t>
  </si>
  <si>
    <t xml:space="preserve">Operations Team</t>
  </si>
  <si>
    <t xml:space="preserve">R-004</t>
  </si>
  <si>
    <t xml:space="preserve">Known-vulnerable dependency added to the build</t>
  </si>
  <si>
    <t xml:space="preserve">T1195.001 Compromise Software Dependencies and Development Tools</t>
  </si>
  <si>
    <t xml:space="preserve">A dependency is upgraded or added at a version with a known vulnerability.</t>
  </si>
  <si>
    <t xml:space="preserve">Exploitable component runs in OT workloads; possible remote code execution on the edge node.</t>
  </si>
  <si>
    <t xml:space="preserve">Build Tool / SCA &amp; SAST Scanner</t>
  </si>
  <si>
    <t xml:space="preserve">Dependency drift is constant; likelihood is high without SCA gating.</t>
  </si>
  <si>
    <t xml:space="preserve">SCA as a blocking gate with severity policy, lockfiles and pinned versions, dependency proxy, automated update PRs (Renovate/Dependabot).</t>
  </si>
  <si>
    <t xml:space="preserve">DevSecOps</t>
  </si>
  <si>
    <t xml:space="preserve">Build Tool → SCA &amp; SAST Scanner</t>
  </si>
  <si>
    <t xml:space="preserve">R-005</t>
  </si>
  <si>
    <t xml:space="preserve">Malicious or typosquatted dependency or base image pulled into the build</t>
  </si>
  <si>
    <t xml:space="preserve">T1195.001 Compromise Software Dependencies and Development Tools; T1204.003 Malicious Image</t>
  </si>
  <si>
    <t xml:space="preserve">Build resolves a malicious public package, a dependency-confusion name, or a compromised base image.</t>
  </si>
  <si>
    <t xml:space="preserve">Backdoor compiled into a released image and trusted by every OT site.</t>
  </si>
  <si>
    <t xml:space="preserve">Build Tool / Image Builder</t>
  </si>
  <si>
    <t xml:space="preserve">Supply-chain package attacks are frequent and bypass source review.</t>
  </si>
  <si>
    <t xml:space="preserve">All packages and base images via Artifactory/Nexus proxy, namespace reservation for internal packages, approved base-image catalog, pinning by digest.</t>
  </si>
  <si>
    <t xml:space="preserve">DevSecOps / Platform</t>
  </si>
  <si>
    <t xml:space="preserve">Build Tool / Image Builder (no AV yet)</t>
  </si>
  <si>
    <t xml:space="preserve">R-006</t>
  </si>
  <si>
    <t xml:space="preserve">Source code made publicly available</t>
  </si>
  <si>
    <t xml:space="preserve">Information Disclosure</t>
  </si>
  <si>
    <t xml:space="preserve">T1213.003 Data from Information Repositories: Code Repositories</t>
  </si>
  <si>
    <t xml:space="preserve">Misconfiguration of project access or a leaked clone exposes source code.</t>
  </si>
  <si>
    <t xml:space="preserve">Disclosure of OT endpoints, protocols, internal topology and possibly embedded credentials.</t>
  </si>
  <si>
    <t xml:space="preserve">Project visibility is inherited from organisation settings, which lowers likelihood.</t>
  </si>
  <si>
    <t xml:space="preserve">Organisation-enforced private visibility, secret scanning with push protection, periodic access review.</t>
  </si>
  <si>
    <t xml:space="preserve">R-007</t>
  </si>
  <si>
    <t xml:space="preserve">Unapproved change to the CI pipeline definition (poisoned pipeline execution)</t>
  </si>
  <si>
    <t xml:space="preserve">Tampering / Elevation of Privilege</t>
  </si>
  <si>
    <t xml:space="preserve">T1195.002 Compromise Software Supply Chain; T1078 Valid Accounts; T1059 Command and Scripting Interpreter</t>
  </si>
  <si>
    <t xml:space="preserve">Using an authentication token, an attacker modifies the CI pipeline configuration or a shared library to skip gates or inject steps.</t>
  </si>
  <si>
    <t xml:space="preserve">Security gates silently bypassed; malicious artifact produced with valid provenance.</t>
  </si>
  <si>
    <t xml:space="preserve">CI Pipeline definitions</t>
  </si>
  <si>
    <t xml:space="preserve">Pipeline files are often less protected than application code.</t>
  </si>
  <si>
    <t xml:space="preserve">CODEOWNERS and 4-eyes on Jenkinsfile/pipeline paths, central versioned pipeline templates, no privileged jobs from PRs, OIDC workload identity.</t>
  </si>
  <si>
    <t xml:space="preserve">DevSecOps / Operations Team</t>
  </si>
  <si>
    <t xml:space="preserve">Operations Team → CI Pipeline (no AV yet)</t>
  </si>
  <si>
    <t xml:space="preserve">R-008</t>
  </si>
  <si>
    <t xml:space="preserve">CI build agent compromised or persistent between jobs</t>
  </si>
  <si>
    <t xml:space="preserve">T1611 Escape to Host; T1525 Implant Internal Image; T1053 Scheduled Task/Job</t>
  </si>
  <si>
    <t xml:space="preserve">Long-lived or shared runners, or an exposed docker.sock, let one job tamper with later builds.</t>
  </si>
  <si>
    <t xml:space="preserve">Every image built on the agent can be backdoored; credentials on the agent stolen.</t>
  </si>
  <si>
    <t xml:space="preserve">CI Pipeline runners</t>
  </si>
  <si>
    <t xml:space="preserve">Shared, long-lived agents are common in Jenkins estates.</t>
  </si>
  <si>
    <t xml:space="preserve">Ephemeral single-use agents, rootless image builds (Kaniko/BuildKit), no docker.sock, egress allow-list, separate pools per trust level.</t>
  </si>
  <si>
    <t xml:space="preserve">CI Pipeline (no AV yet)</t>
  </si>
  <si>
    <t xml:space="preserve">R-009</t>
  </si>
  <si>
    <t xml:space="preserve">Secrets exfiltrated from the Secret Vault or CI jobs</t>
  </si>
  <si>
    <t xml:space="preserve">Information Disclosure / Elevation of Privilege</t>
  </si>
  <si>
    <t xml:space="preserve">T1552 Unsecured Credentials; T1528 Steal Application Access Token</t>
  </si>
  <si>
    <t xml:space="preserve">Attacker reads vault paths or CI environment and logs to obtain registry, signing or deployment credentials (T01).</t>
  </si>
  <si>
    <t xml:space="preserve">Credentials enable image push, promotion or deployment to OT.</t>
  </si>
  <si>
    <t xml:space="preserve">Secret Vault</t>
  </si>
  <si>
    <t xml:space="preserve">Vault is a high-value target; CI jobs often over-scope secret access.</t>
  </si>
  <si>
    <t xml:space="preserve">Short-lived dynamic secrets, per-pipeline least-privilege policies, log masking, vault audit to SIEM, rotation by Operations Team.</t>
  </si>
  <si>
    <t xml:space="preserve">Operations Team / Security</t>
  </si>
  <si>
    <t xml:space="preserve">AV04 · T01 → Secret Vault</t>
  </si>
  <si>
    <t xml:space="preserve">R-010</t>
  </si>
  <si>
    <t xml:space="preserve">Image scanning bypassed or result ignored before publish</t>
  </si>
  <si>
    <t xml:space="preserve">T1685 Disable or Modify Tools; T1525 Implant Internal Image</t>
  </si>
  <si>
    <t xml:space="preserve">Attacker or rushed operator publishes an image that skipped or failed scanning (T01).</t>
  </si>
  <si>
    <t xml:space="preserve">Unscanned or vulnerable image is published and promoted to OT.</t>
  </si>
  <si>
    <t xml:space="preserve">Image Scanning → publish</t>
  </si>
  <si>
    <t xml:space="preserve">Gates are often advisory rather than blocking.</t>
  </si>
  <si>
    <t xml:space="preserve">Blocking scan gate, publish only from the pipeline identity, signed scan attestation bound to digest.</t>
  </si>
  <si>
    <t xml:space="preserve">AV03 · T01 → Image Scanning / publish</t>
  </si>
  <si>
    <t xml:space="preserve">R-011</t>
  </si>
  <si>
    <t xml:space="preserve">SBOM or scan evidence altered inside the pipeline</t>
  </si>
  <si>
    <t xml:space="preserve">Tampering / Repudiation</t>
  </si>
  <si>
    <t xml:space="preserve">T1525 Implant Internal Image; T1070 Indicator Removal</t>
  </si>
  <si>
    <t xml:space="preserve">A pipeline step or operator changes the SBOM or scan report before it is attached to the image.</t>
  </si>
  <si>
    <t xml:space="preserve">Unsafe image promoted with false assurance; weak incident evidence.</t>
  </si>
  <si>
    <t xml:space="preserve">SBOM / Image Scanning</t>
  </si>
  <si>
    <t xml:space="preserve">Evidence files are often plain artifacts with broad write access.</t>
  </si>
  <si>
    <t xml:space="preserve">Generate SBOM from the built image digest, sign SBOM and scan results as attestations, restrict write access to the pipeline identity.</t>
  </si>
  <si>
    <t xml:space="preserve">SBOM / Image Scanning (no AV yet)</t>
  </si>
  <si>
    <t xml:space="preserve">R-012</t>
  </si>
  <si>
    <t xml:space="preserve">Signing key or signing step misused in CI</t>
  </si>
  <si>
    <t xml:space="preserve">Spoofing / Tampering</t>
  </si>
  <si>
    <t xml:space="preserve">T1528 Steal Application Access Token; T1078 Valid Accounts</t>
  </si>
  <si>
    <t xml:space="preserve">An attacker with pipeline or vault access signs an image that did not pass the gates.</t>
  </si>
  <si>
    <t xml:space="preserve">Malicious image carries a valid signature and passes site verification.</t>
  </si>
  <si>
    <t xml:space="preserve">Signing step / Secret Vault</t>
  </si>
  <si>
    <t xml:space="preserve">Strong key protection lowers likelihood, but impact is severe.</t>
  </si>
  <si>
    <t xml:space="preserve">Keys in KMS/HSM, signing only from the protected-branch pipeline identity after all gates, signing audit and anomaly alerts.</t>
  </si>
  <si>
    <t xml:space="preserve">PKI / DevSecOps</t>
  </si>
  <si>
    <t xml:space="preserve">CI Pipeline → Secret Vault (no signing step in diagram yet)</t>
  </si>
  <si>
    <t xml:space="preserve">R-013</t>
  </si>
  <si>
    <t xml:space="preserve">Unauthorized or undefined IT→OT image promotion</t>
  </si>
  <si>
    <t xml:space="preserve">T1078 Valid Accounts</t>
  </si>
  <si>
    <t xml:space="preserve">The release-manager promotion step is undefined; a compromised or mistaken account promotes an unapproved image.</t>
  </si>
  <si>
    <t xml:space="preserve">Unapproved release staged for all sites; no evidence of who approved it.</t>
  </si>
  <si>
    <t xml:space="preserve">Release Manager / promotion process</t>
  </si>
  <si>
    <t xml:space="preserve">Process is marked unclear in the diagram; ad-hoc promotion is likely.</t>
  </si>
  <si>
    <t xml:space="preserve">Define promotion gate: approved digests only, two-person approval tied to change ID, MFA, promotion via pipeline not manual push, recorded evidence.</t>
  </si>
  <si>
    <t xml:space="preserve">Release Management</t>
  </si>
  <si>
    <t xml:space="preserve">Release Manager → Image Registry</t>
  </si>
  <si>
    <t xml:space="preserve">R-014</t>
  </si>
  <si>
    <t xml:space="preserve">Site local storage tampered or poisoned</t>
  </si>
  <si>
    <t xml:space="preserve">Attacker with OT access alters cached images or manifests in local storage (T01).</t>
  </si>
  <si>
    <t xml:space="preserve">Tampered workload runs at the site; rollback images may be corrupted.</t>
  </si>
  <si>
    <t xml:space="preserve">Local Storage (Kubernetes)</t>
  </si>
  <si>
    <t xml:space="preserve">Requires OT foothold; local caches are rarely integrity-checked.</t>
  </si>
  <si>
    <t xml:space="preserve">Digest-only pulls, signature verification on every pod start, immutable storage, restricted write identity, integrity alerts.</t>
  </si>
  <si>
    <t xml:space="preserve">OT Platform</t>
  </si>
  <si>
    <t xml:space="preserve">AV07 · T01 → Local Storage</t>
  </si>
  <si>
    <t xml:space="preserve">R-015</t>
  </si>
  <si>
    <t xml:space="preserve">Deploy controller compromised or over-privileged</t>
  </si>
  <si>
    <t xml:space="preserve">T1609 Container Administration Command; T1610 Deploy Container; T1078 Valid Accounts</t>
  </si>
  <si>
    <t xml:space="preserve">Attacker takes over or re-points the deploy controller, which runs with broad cluster rights (T01).</t>
  </si>
  <si>
    <t xml:space="preserve">Arbitrary workloads deployed across the site cluster; full cluster compromise.</t>
  </si>
  <si>
    <t xml:space="preserve">Deploy Controller</t>
  </si>
  <si>
    <t xml:space="preserve">Deploy controllers commonly run as cluster-admin.</t>
  </si>
  <si>
    <t xml:space="preserve">Namespace-scoped service accounts, no cluster-admin, controller config under GitOps, signed desired state, deploy by digest, alert on config drift.</t>
  </si>
  <si>
    <t xml:space="preserve">AV08 · T01 → Deploy Controller</t>
  </si>
  <si>
    <t xml:space="preserve">R-016</t>
  </si>
  <si>
    <t xml:space="preserve">Workload deployed with privileged runtime settings</t>
  </si>
  <si>
    <t xml:space="preserve">Elevation of Privilege</t>
  </si>
  <si>
    <t xml:space="preserve">T1610 Deploy Container; T1611 Escape to Host</t>
  </si>
  <si>
    <t xml:space="preserve">A manifest requests privileged mode, hostPath, host networking or extra capabilities and is applied unchecked.</t>
  </si>
  <si>
    <t xml:space="preserve">Container escape to the OT edge node; access to node credentials and networks.</t>
  </si>
  <si>
    <t xml:space="preserve">Deploy Controller → Deployed Pod</t>
  </si>
  <si>
    <t xml:space="preserve">Common in vendor charts and quick fixes.</t>
  </si>
  <si>
    <t xml:space="preserve">Admission control with Pod Security restricted, non-root, read-only root filesystem, drop capabilities, policy checks in CI on manifests.</t>
  </si>
  <si>
    <t xml:space="preserve">R-017</t>
  </si>
  <si>
    <t xml:space="preserve">Vulnerability disclosed after release goes undetected in OT</t>
  </si>
  <si>
    <t xml:space="preserve">Elevation of Privilege / Information Disclosure</t>
  </si>
  <si>
    <t xml:space="preserve">T1190 Exploit Public-Facing Application; T1068 Exploitation for Privilege Escalation</t>
  </si>
  <si>
    <t xml:space="preserve">A CVE is published for a component in an already-released, deployed image; no re-scan occurs.</t>
  </si>
  <si>
    <t xml:space="preserve">Exploitable workload keeps running in OT with no alert.</t>
  </si>
  <si>
    <t xml:space="preserve">Deployed Pod / released images</t>
  </si>
  <si>
    <t xml:space="preserve">New CVEs appear weekly for common base images.</t>
  </si>
  <si>
    <t xml:space="preserve">Continuous re-scan of released images against SBOMs, revocation signal for affected releases, site notification and patch SLA.</t>
  </si>
  <si>
    <t xml:space="preserve">DevSecOps / SOC</t>
  </si>
  <si>
    <t xml:space="preserve">Image Scanning → Deployed Pod</t>
  </si>
  <si>
    <t xml:space="preserve">R-018</t>
  </si>
  <si>
    <t xml:space="preserve">Deployed pod moves laterally into OT cells</t>
  </si>
  <si>
    <t xml:space="preserve">T1611 Escape to Host; T1550 Use Alternate Authentication Material; T1046 Network Service Discovery</t>
  </si>
  <si>
    <t xml:space="preserve">A compromised pod scans and reaches PLC/HMI networks or other namespaces.</t>
  </si>
  <si>
    <t xml:space="preserve">Manipulation of OT process; safety and production impact.</t>
  </si>
  <si>
    <t xml:space="preserve">Deployed Pod → OT cells</t>
  </si>
  <si>
    <t xml:space="preserve">Runtime blast radius is not modelled in the diagram yet.</t>
  </si>
  <si>
    <t xml:space="preserve">Default-deny NetworkPolicy, egress allow-list to named OT assets and protocols, Pod Security restricted, OT firewall between cluster and cells.</t>
  </si>
  <si>
    <t xml:space="preserve">OT Platform / OT Security</t>
  </si>
  <si>
    <t xml:space="preserve">Deployed Pod → OT (no AV yet)</t>
  </si>
  <si>
    <t xml:space="preserve">R-019</t>
  </si>
  <si>
    <t xml:space="preserve">Insufficient CI/CD audit logging</t>
  </si>
  <si>
    <t xml:space="preserve">Repudiation</t>
  </si>
  <si>
    <t xml:space="preserve">T1070 Indicator Removal</t>
  </si>
  <si>
    <t xml:space="preserve">SCM, CI, vault, promotion and deployment actions are not logged centrally or retained.</t>
  </si>
  <si>
    <t xml:space="preserve">Cannot prove who changed, built, promoted or deployed a release; slow incident response.</t>
  </si>
  <si>
    <t xml:space="preserve">CI Pipeline / Source Control / Deploy Controller</t>
  </si>
  <si>
    <t xml:space="preserve">Logging gaps are common across tool chains.</t>
  </si>
  <si>
    <t xml:space="preserve">Forward SCM, CI, vault, promotion and deploy logs to SIEM, append-only retention, coverage review against this register.</t>
  </si>
  <si>
    <t xml:space="preserve">SOC</t>
  </si>
  <si>
    <t xml:space="preserve">CI Pipeline / Source Control</t>
  </si>
  <si>
    <t xml:space="preserve">R-020</t>
  </si>
  <si>
    <t xml:space="preserve">Operations team insider misuses CI or vault administration</t>
  </si>
  <si>
    <t xml:space="preserve">Tampering / Repudiation / Elevation of Privilege</t>
  </si>
  <si>
    <t xml:space="preserve">T1078 Valid Accounts; T1098 Account Manipulation</t>
  </si>
  <si>
    <t xml:space="preserve">An authorized operator alters jobs, grants rights or reads secrets beyond need (T02).</t>
  </si>
  <si>
    <t xml:space="preserve">Gates disabled or credentials exposed with legitimate access, hard to detect.</t>
  </si>
  <si>
    <t xml:space="preserve">CI Pipeline / Secret Vault</t>
  </si>
  <si>
    <t xml:space="preserve">Admin roles are broad and rarely separated.</t>
  </si>
  <si>
    <t xml:space="preserve">Separation of duties, JIT admin access, MFA, admin action alerts, quarterly access review.</t>
  </si>
  <si>
    <t xml:space="preserve">Security / Operations Team</t>
  </si>
  <si>
    <t xml:space="preserve">Operations Team → CI Pipeline / Secret Vault</t>
  </si>
  <si>
    <t xml:space="preserve">Phase</t>
  </si>
  <si>
    <t xml:space="preserve">Priority</t>
  </si>
  <si>
    <t xml:space="preserve">Mitigation focus</t>
  </si>
  <si>
    <t xml:space="preserve">Related risks</t>
  </si>
  <si>
    <t xml:space="preserve">Expected likelihood effect</t>
  </si>
  <si>
    <t xml:space="preserve">Phase 1</t>
  </si>
  <si>
    <t xml:space="preserve">MFA and no long-lived tokens; branch protection with 4-eyes and CODEOWNERS on code and pipeline paths; central pipeline templates; defined two-person IT→OT promotion gate; signing only after all gates with keys in KMS/HSM; namespace-scoped deploy controller with signed desired state.</t>
  </si>
  <si>
    <t xml:space="preserve">R-001, R-002, R-007, R-012, R-013, R-015, R-020</t>
  </si>
  <si>
    <t xml:space="preserve">Reduces likelihood of unapproved source, pipeline or promotion changes and of a validly signed malicious image.</t>
  </si>
  <si>
    <t xml:space="preserve">Phase 2</t>
  </si>
  <si>
    <t xml:space="preserve">Dependency proxy and pinning; SCA, SAST and image scanning as blocking gates; SBOM from the built image; signed scan and SBOM attestations; ephemeral rootless build agents; dynamic secrets from Vault.</t>
  </si>
  <si>
    <t xml:space="preserve">R-004, R-005, R-008, R-009, R-010, R-011</t>
  </si>
  <si>
    <t xml:space="preserve">Reduces likelihood of supply-chain injection, unscanned images, tampered evidence and secret theft.</t>
  </si>
  <si>
    <t xml:space="preserve">Phase 3</t>
  </si>
  <si>
    <t xml:space="preserve">Admission control at site (signature and Pod Security restricted); digest-only pulls; default-deny network policy and egress allow-list to OT cells; integrity checks on local storage.</t>
  </si>
  <si>
    <t xml:space="preserve">R-014, R-015, R-016, R-018</t>
  </si>
  <si>
    <t xml:space="preserve">Reduces likelihood that a malicious or misconfigured workload compromises the node, cluster or OT cells.</t>
  </si>
  <si>
    <t xml:space="preserve">Phase 4</t>
  </si>
  <si>
    <t xml:space="preserve">Medium/High</t>
  </si>
  <si>
    <t xml:space="preserve">Central immutable logging for SCM, CI, vault, promotion and deployment; continuous re-scan and release revocation; SCM/CI availability and break-glass path; source visibility controls.</t>
  </si>
  <si>
    <t xml:space="preserve">R-003, R-006, R-017, R-019</t>
  </si>
  <si>
    <t xml:space="preserve">Reduces likelihood of unnoticed pipeline abuse and stale vulnerable releases; shortens response time.</t>
  </si>
  <si>
    <t xml:space="preserve">Likelihood Scale</t>
  </si>
  <si>
    <t xml:space="preserve">Score</t>
  </si>
  <si>
    <t xml:space="preserve">Likelihood</t>
  </si>
  <si>
    <t xml:space="preserve">Definition</t>
  </si>
  <si>
    <t xml:space="preserve">Rare</t>
  </si>
  <si>
    <t xml:space="preserve">Highly unlikely; requires multiple control failures or unusual access.</t>
  </si>
  <si>
    <t xml:space="preserve">Unlikely</t>
  </si>
  <si>
    <t xml:space="preserve">Possible but not expected; limited opportunity or compensating controls.</t>
  </si>
  <si>
    <t xml:space="preserve">Possible</t>
  </si>
  <si>
    <t xml:space="preserve">Credible scenario; plausible in CI/CD and registry workflows.</t>
  </si>
  <si>
    <t xml:space="preserve">Likely</t>
  </si>
  <si>
    <t xml:space="preserve">Expected under realistic attack conditions where controls are weak.</t>
  </si>
  <si>
    <t xml:space="preserve">Almost Certain</t>
  </si>
  <si>
    <t xml:space="preserve">Highly probable without strong controls.</t>
  </si>
  <si>
    <t xml:space="preserve">Impact Scale</t>
  </si>
  <si>
    <t xml:space="preserve">Impact</t>
  </si>
  <si>
    <t xml:space="preserve">Negligible</t>
  </si>
  <si>
    <t xml:space="preserve">Minimal effect.</t>
  </si>
  <si>
    <t xml:space="preserve">Minor</t>
  </si>
  <si>
    <t xml:space="preserve">Limited issue; short recovery.</t>
  </si>
  <si>
    <t xml:space="preserve">Moderate</t>
  </si>
  <si>
    <t xml:space="preserve">Degraded OT security visibility or contained exposure.</t>
  </si>
  <si>
    <t xml:space="preserve">Major</t>
  </si>
  <si>
    <t xml:space="preserve">Material OT monitoring blind spot or significant response impact.</t>
  </si>
  <si>
    <t xml:space="preserve">Severe</t>
  </si>
  <si>
    <t xml:space="preserve">Persistent compromise or serious loss of trust.</t>
  </si>
  <si>
    <t xml:space="preserve">Risk Level Thresholds</t>
  </si>
  <si>
    <t xml:space="preserve">Score range</t>
  </si>
  <si>
    <t xml:space="preserve">Suggested response</t>
  </si>
  <si>
    <t xml:space="preserve">1-5</t>
  </si>
  <si>
    <t xml:space="preserve">Accept/monitor.</t>
  </si>
  <si>
    <t xml:space="preserve">6-11</t>
  </si>
  <si>
    <t xml:space="preserve">Assign owner and mitigation plan.</t>
  </si>
  <si>
    <t xml:space="preserve">12-19</t>
  </si>
  <si>
    <t xml:space="preserve">Prioritize mitigation and review.</t>
  </si>
  <si>
    <t xml:space="preserve">20-25</t>
  </si>
  <si>
    <t xml:space="preserve">Immediate action or block path.</t>
  </si>
  <si>
    <t xml:space="preserve">Source diagram</t>
  </si>
  <si>
    <t xml:space="preserve">CI/CD for OT and IT threat model diagram (original version: IT CI pipeline, DMZ, Factory/OTPM Kubernetes; attack vectors AV01–AV08; threat agents T01–T03)</t>
  </si>
  <si>
    <t xml:space="preserve">Scope</t>
  </si>
  <si>
    <t xml:space="preserve">CI/CD project only: source control, CI pipeline, secrets use, signing, IT→OT promotion, site deploy controller, local storage and deployed workloads. Each project delivers its own threat model and risk assessment.</t>
  </si>
  <si>
    <t xml:space="preserve">Out of scope</t>
  </si>
  <si>
    <t xml:space="preserve">Image registries (IT and DMZ) and the IT→DMZ replication path belong to the Trusted Registries project. Diagram vectors AV05 and AV06 are covered there; this pipeline depends on those controls.</t>
  </si>
  <si>
    <t xml:space="preserve">Scoring formula</t>
  </si>
  <si>
    <t xml:space="preserve">Risk score = likelihood x impact.</t>
  </si>
  <si>
    <t xml:space="preserve">Scores and owners</t>
  </si>
  <si>
    <t xml:space="preserve">Likelihood, impact and action owners are proposals for stakeholder review.</t>
  </si>
  <si>
    <t xml:space="preserve">Links each risk to its attack vector (AVxx) and component. Rows marked 'no AV yet' are gaps to add to the diagram.</t>
  </si>
  <si>
    <t xml:space="preserve">MITRE ATT&amp;CK Enterprise v20. CI/CD supply-chain techniques (T1195, T1213, T1059) come from the full Enterprise matrix, not the Containers view.</t>
  </si>
  <si>
    <t xml:space="preserve">Threat agents</t>
  </si>
  <si>
    <t xml:space="preserve">T01 Unauthorized user · T02 Authorized user · T03 Developer (as in the diagram).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</si>
</sst>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i val="true"/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ont>
        <b val="1"/>
        <color rgb="FFFFFFFF"/>
      </font>
      <fill>
        <patternFill>
          <bgColor rgb="FFC00000"/>
        </patternFill>
      </fill>
    </dxf>
    <dxf>
      <font>
        <b val="1"/>
        <color rgb="FF000000"/>
      </font>
      <fill>
        <patternFill>
          <bgColor rgb="FFE8A202"/>
        </patternFill>
      </fill>
    </dxf>
    <dxf>
      <font>
        <b val="1"/>
        <color rgb="FF000000"/>
      </font>
      <fill>
        <patternFill>
          <bgColor rgb="FFF4E06A"/>
        </patternFill>
      </fill>
    </dxf>
    <dxf>
      <font>
        <b val="1"/>
        <color rgb="FF000000"/>
      </font>
      <fill>
        <patternFill>
          <bgColor rgb="FFA9D18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BD77E"/>
          <bgColor rgb="FF000000"/>
        </patternFill>
      </fill>
    </dxf>
    <dxf>
      <fill>
        <patternFill patternType="solid">
          <fgColor rgb="FFD8DA78"/>
          <bgColor rgb="FF000000"/>
        </patternFill>
      </fill>
    </dxf>
    <dxf>
      <fill>
        <patternFill patternType="solid">
          <fgColor rgb="FFE6DD71"/>
          <bgColor rgb="FF000000"/>
        </patternFill>
      </fill>
    </dxf>
    <dxf>
      <fill>
        <patternFill patternType="solid">
          <fgColor rgb="FFEB9957"/>
          <bgColor rgb="FF000000"/>
        </patternFill>
      </fill>
    </dxf>
    <dxf>
      <fill>
        <patternFill patternType="solid">
          <fgColor rgb="FFF0BD61"/>
          <bgColor rgb="FF000000"/>
        </patternFill>
      </fill>
    </dxf>
    <dxf>
      <fill>
        <patternFill patternType="solid">
          <fgColor rgb="FFF1C663"/>
          <bgColor rgb="FF000000"/>
        </patternFill>
      </fill>
    </dxf>
    <dxf>
      <fill>
        <patternFill patternType="solid">
          <fgColor rgb="FFF4E06A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8A202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4E06A"/>
      <rgbColor rgb="FF3366FF"/>
      <rgbColor rgb="FF33CCCC"/>
      <rgbColor rgb="FF99CC00"/>
      <rgbColor rgb="FFFFCC00"/>
      <rgbColor rgb="FFE8A202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iskAssessment" displayName="RiskAssessment" ref="A4:P24" headerRowCount="1" totalsRowCount="0" totalsRowShown="0">
  <autoFilter ref="A4:P24"/>
  <tableColumns count="16">
    <tableColumn id="1" name="Risk ID"/>
    <tableColumn id="2" name="Risk scenario"/>
    <tableColumn id="3" name="STRIDE category"/>
    <tableColumn id="4" name="MITRE TTPs"/>
    <tableColumn id="5" name="Threat scenario"/>
    <tableColumn id="6" name="Potential OT impact"/>
    <tableColumn id="7" name="Primary asset/process"/>
    <tableColumn id="8" name="Business priority"/>
    <tableColumn id="9" name="Likelihood rationale"/>
    <tableColumn id="10" name="Likelihood (1-5)"/>
    <tableColumn id="11" name="Impact (1-5)"/>
    <tableColumn id="12" name="Risk score"/>
    <tableColumn id="13" name="Risk level"/>
    <tableColumn id="14" name="Primary mitigation strategy"/>
    <tableColumn id="15" name="Action owner / notes"/>
    <tableColumn id="16" name="Diagram referen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6" style="0" width="12"/>
    <col collapsed="false" customWidth="true" hidden="false" outlineLevel="0" max="7" min="7" style="0" width="9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F3" s="3" t="s">
        <v>4</v>
      </c>
      <c r="G3" s="3" t="s">
        <v>5</v>
      </c>
    </row>
    <row r="4" customFormat="false" ht="15" hidden="false" customHeight="false" outlineLevel="0" collapsed="false">
      <c r="A4" s="4" t="str">
        <f aca="false">'Risk Assessment'!A5</f>
        <v>R-001</v>
      </c>
      <c r="B4" s="4" t="str">
        <f aca="false">'Risk Assessment'!B5</f>
        <v>Unapproved source change made with a stolen developer credential</v>
      </c>
      <c r="C4" s="5" t="n">
        <f aca="false">'Risk Assessment'!L5</f>
        <v>15</v>
      </c>
      <c r="D4" s="6" t="str">
        <f aca="false">'Risk Assessment'!M5</f>
        <v>High</v>
      </c>
      <c r="F4" s="7" t="s">
        <v>6</v>
      </c>
      <c r="G4" s="8" t="n">
        <f aca="false">COUNTIF($D$4:$D$23,F4)</f>
        <v>1</v>
      </c>
    </row>
    <row r="5" customFormat="false" ht="15" hidden="false" customHeight="false" outlineLevel="0" collapsed="false">
      <c r="A5" s="4" t="str">
        <f aca="false">'Risk Assessment'!A6</f>
        <v>R-002</v>
      </c>
      <c r="B5" s="4" t="str">
        <f aca="false">'Risk Assessment'!B6</f>
        <v>Erroneous or harmful change introduced by a developer</v>
      </c>
      <c r="C5" s="5" t="n">
        <f aca="false">'Risk Assessment'!L6</f>
        <v>15</v>
      </c>
      <c r="D5" s="6" t="str">
        <f aca="false">'Risk Assessment'!M6</f>
        <v>High</v>
      </c>
      <c r="F5" s="7" t="s">
        <v>7</v>
      </c>
      <c r="G5" s="8" t="n">
        <f aca="false">COUNTIF($D$4:$D$23,F5)</f>
        <v>14</v>
      </c>
    </row>
    <row r="6" customFormat="false" ht="28.35" hidden="false" customHeight="false" outlineLevel="0" collapsed="false">
      <c r="A6" s="4" t="str">
        <f aca="false">'Risk Assessment'!A7</f>
        <v>R-003</v>
      </c>
      <c r="B6" s="4" t="str">
        <f aca="false">'Risk Assessment'!B7</f>
        <v>Source control or CI pipeline tools unavailable during an urgent OT patch</v>
      </c>
      <c r="C6" s="5" t="n">
        <f aca="false">'Risk Assessment'!L7</f>
        <v>6</v>
      </c>
      <c r="D6" s="6" t="str">
        <f aca="false">'Risk Assessment'!M7</f>
        <v>Medium</v>
      </c>
      <c r="F6" s="7" t="s">
        <v>8</v>
      </c>
      <c r="G6" s="8" t="n">
        <f aca="false">COUNTIF($D$4:$D$23,F6)</f>
        <v>5</v>
      </c>
    </row>
    <row r="7" customFormat="false" ht="15" hidden="false" customHeight="false" outlineLevel="0" collapsed="false">
      <c r="A7" s="4" t="str">
        <f aca="false">'Risk Assessment'!A8</f>
        <v>R-004</v>
      </c>
      <c r="B7" s="4" t="str">
        <f aca="false">'Risk Assessment'!B8</f>
        <v>Known-vulnerable dependency added to the build</v>
      </c>
      <c r="C7" s="5" t="n">
        <f aca="false">'Risk Assessment'!L8</f>
        <v>12</v>
      </c>
      <c r="D7" s="6" t="str">
        <f aca="false">'Risk Assessment'!M8</f>
        <v>High</v>
      </c>
      <c r="F7" s="7" t="s">
        <v>9</v>
      </c>
      <c r="G7" s="8" t="n">
        <f aca="false">COUNTIF($D$4:$D$23,F7)</f>
        <v>0</v>
      </c>
    </row>
    <row r="8" customFormat="false" ht="28.35" hidden="false" customHeight="false" outlineLevel="0" collapsed="false">
      <c r="A8" s="4" t="str">
        <f aca="false">'Risk Assessment'!A9</f>
        <v>R-005</v>
      </c>
      <c r="B8" s="4" t="str">
        <f aca="false">'Risk Assessment'!B9</f>
        <v>Malicious or typosquatted dependency or base image pulled into the build</v>
      </c>
      <c r="C8" s="5" t="n">
        <f aca="false">'Risk Assessment'!L9</f>
        <v>15</v>
      </c>
      <c r="D8" s="6" t="str">
        <f aca="false">'Risk Assessment'!M9</f>
        <v>High</v>
      </c>
      <c r="F8" s="9" t="s">
        <v>10</v>
      </c>
      <c r="G8" s="9" t="n">
        <f aca="false">SUM(G4:G7)</f>
        <v>20</v>
      </c>
    </row>
    <row r="9" customFormat="false" ht="15" hidden="false" customHeight="false" outlineLevel="0" collapsed="false">
      <c r="A9" s="4" t="str">
        <f aca="false">'Risk Assessment'!A10</f>
        <v>R-006</v>
      </c>
      <c r="B9" s="4" t="str">
        <f aca="false">'Risk Assessment'!B10</f>
        <v>Source code made publicly available</v>
      </c>
      <c r="C9" s="5" t="n">
        <f aca="false">'Risk Assessment'!L10</f>
        <v>8</v>
      </c>
      <c r="D9" s="6" t="str">
        <f aca="false">'Risk Assessment'!M10</f>
        <v>Medium</v>
      </c>
    </row>
    <row r="10" customFormat="false" ht="28.35" hidden="false" customHeight="false" outlineLevel="0" collapsed="false">
      <c r="A10" s="4" t="str">
        <f aca="false">'Risk Assessment'!A11</f>
        <v>R-007</v>
      </c>
      <c r="B10" s="4" t="str">
        <f aca="false">'Risk Assessment'!B11</f>
        <v>Unapproved change to the CI pipeline definition (poisoned pipeline execution)</v>
      </c>
      <c r="C10" s="5" t="n">
        <f aca="false">'Risk Assessment'!L11</f>
        <v>15</v>
      </c>
      <c r="D10" s="6" t="str">
        <f aca="false">'Risk Assessment'!M11</f>
        <v>High</v>
      </c>
    </row>
    <row r="11" customFormat="false" ht="15" hidden="false" customHeight="false" outlineLevel="0" collapsed="false">
      <c r="A11" s="4" t="str">
        <f aca="false">'Risk Assessment'!A12</f>
        <v>R-008</v>
      </c>
      <c r="B11" s="4" t="str">
        <f aca="false">'Risk Assessment'!B12</f>
        <v>CI build agent compromised or persistent between jobs</v>
      </c>
      <c r="C11" s="5" t="n">
        <f aca="false">'Risk Assessment'!L12</f>
        <v>15</v>
      </c>
      <c r="D11" s="6" t="str">
        <f aca="false">'Risk Assessment'!M12</f>
        <v>High</v>
      </c>
    </row>
    <row r="12" customFormat="false" ht="15" hidden="false" customHeight="false" outlineLevel="0" collapsed="false">
      <c r="A12" s="4" t="str">
        <f aca="false">'Risk Assessment'!A13</f>
        <v>R-009</v>
      </c>
      <c r="B12" s="4" t="str">
        <f aca="false">'Risk Assessment'!B13</f>
        <v>Secrets exfiltrated from the Secret Vault or CI jobs</v>
      </c>
      <c r="C12" s="5" t="n">
        <f aca="false">'Risk Assessment'!L13</f>
        <v>15</v>
      </c>
      <c r="D12" s="6" t="str">
        <f aca="false">'Risk Assessment'!M13</f>
        <v>High</v>
      </c>
    </row>
    <row r="13" customFormat="false" ht="15" hidden="false" customHeight="false" outlineLevel="0" collapsed="false">
      <c r="A13" s="4" t="str">
        <f aca="false">'Risk Assessment'!A14</f>
        <v>R-010</v>
      </c>
      <c r="B13" s="4" t="str">
        <f aca="false">'Risk Assessment'!B14</f>
        <v>Image scanning bypassed or result ignored before publish</v>
      </c>
      <c r="C13" s="5" t="n">
        <f aca="false">'Risk Assessment'!L14</f>
        <v>12</v>
      </c>
      <c r="D13" s="6" t="str">
        <f aca="false">'Risk Assessment'!M14</f>
        <v>High</v>
      </c>
    </row>
    <row r="14" customFormat="false" ht="15" hidden="false" customHeight="false" outlineLevel="0" collapsed="false">
      <c r="A14" s="4" t="str">
        <f aca="false">'Risk Assessment'!A15</f>
        <v>R-011</v>
      </c>
      <c r="B14" s="4" t="str">
        <f aca="false">'Risk Assessment'!B15</f>
        <v>SBOM or scan evidence altered inside the pipeline</v>
      </c>
      <c r="C14" s="5" t="n">
        <f aca="false">'Risk Assessment'!L15</f>
        <v>12</v>
      </c>
      <c r="D14" s="6" t="str">
        <f aca="false">'Risk Assessment'!M15</f>
        <v>High</v>
      </c>
    </row>
    <row r="15" customFormat="false" ht="15" hidden="false" customHeight="false" outlineLevel="0" collapsed="false">
      <c r="A15" s="4" t="str">
        <f aca="false">'Risk Assessment'!A16</f>
        <v>R-012</v>
      </c>
      <c r="B15" s="4" t="str">
        <f aca="false">'Risk Assessment'!B16</f>
        <v>Signing key or signing step misused in CI</v>
      </c>
      <c r="C15" s="5" t="n">
        <f aca="false">'Risk Assessment'!L16</f>
        <v>10</v>
      </c>
      <c r="D15" s="6" t="str">
        <f aca="false">'Risk Assessment'!M16</f>
        <v>Medium</v>
      </c>
    </row>
    <row r="16" customFormat="false" ht="15" hidden="false" customHeight="false" outlineLevel="0" collapsed="false">
      <c r="A16" s="4" t="str">
        <f aca="false">'Risk Assessment'!A17</f>
        <v>R-013</v>
      </c>
      <c r="B16" s="4" t="str">
        <f aca="false">'Risk Assessment'!B17</f>
        <v>Unauthorized or undefined IT→OT image promotion</v>
      </c>
      <c r="C16" s="5" t="n">
        <f aca="false">'Risk Assessment'!L17</f>
        <v>20</v>
      </c>
      <c r="D16" s="6" t="str">
        <f aca="false">'Risk Assessment'!M17</f>
        <v>Critical</v>
      </c>
    </row>
    <row r="17" customFormat="false" ht="15" hidden="false" customHeight="false" outlineLevel="0" collapsed="false">
      <c r="A17" s="4" t="str">
        <f aca="false">'Risk Assessment'!A18</f>
        <v>R-014</v>
      </c>
      <c r="B17" s="4" t="str">
        <f aca="false">'Risk Assessment'!B18</f>
        <v>Site local storage tampered or poisoned</v>
      </c>
      <c r="C17" s="5" t="n">
        <f aca="false">'Risk Assessment'!L18</f>
        <v>10</v>
      </c>
      <c r="D17" s="6" t="str">
        <f aca="false">'Risk Assessment'!M18</f>
        <v>Medium</v>
      </c>
    </row>
    <row r="18" customFormat="false" ht="15" hidden="false" customHeight="false" outlineLevel="0" collapsed="false">
      <c r="A18" s="4" t="str">
        <f aca="false">'Risk Assessment'!A19</f>
        <v>R-015</v>
      </c>
      <c r="B18" s="4" t="str">
        <f aca="false">'Risk Assessment'!B19</f>
        <v>Deploy controller compromised or over-privileged</v>
      </c>
      <c r="C18" s="5" t="n">
        <f aca="false">'Risk Assessment'!L19</f>
        <v>15</v>
      </c>
      <c r="D18" s="6" t="str">
        <f aca="false">'Risk Assessment'!M19</f>
        <v>High</v>
      </c>
    </row>
    <row r="19" customFormat="false" ht="15" hidden="false" customHeight="false" outlineLevel="0" collapsed="false">
      <c r="A19" s="4" t="str">
        <f aca="false">'Risk Assessment'!A20</f>
        <v>R-016</v>
      </c>
      <c r="B19" s="4" t="str">
        <f aca="false">'Risk Assessment'!B20</f>
        <v>Workload deployed with privileged runtime settings</v>
      </c>
      <c r="C19" s="5" t="n">
        <f aca="false">'Risk Assessment'!L20</f>
        <v>15</v>
      </c>
      <c r="D19" s="6" t="str">
        <f aca="false">'Risk Assessment'!M20</f>
        <v>High</v>
      </c>
    </row>
    <row r="20" customFormat="false" ht="15" hidden="false" customHeight="false" outlineLevel="0" collapsed="false">
      <c r="A20" s="4" t="str">
        <f aca="false">'Risk Assessment'!A21</f>
        <v>R-017</v>
      </c>
      <c r="B20" s="4" t="str">
        <f aca="false">'Risk Assessment'!B21</f>
        <v>Vulnerability disclosed after release goes undetected in OT</v>
      </c>
      <c r="C20" s="5" t="n">
        <f aca="false">'Risk Assessment'!L21</f>
        <v>16</v>
      </c>
      <c r="D20" s="6" t="str">
        <f aca="false">'Risk Assessment'!M21</f>
        <v>High</v>
      </c>
    </row>
    <row r="21" customFormat="false" ht="15" hidden="false" customHeight="false" outlineLevel="0" collapsed="false">
      <c r="A21" s="4" t="str">
        <f aca="false">'Risk Assessment'!A22</f>
        <v>R-018</v>
      </c>
      <c r="B21" s="4" t="str">
        <f aca="false">'Risk Assessment'!B22</f>
        <v>Deployed pod moves laterally into OT cells</v>
      </c>
      <c r="C21" s="5" t="n">
        <f aca="false">'Risk Assessment'!L22</f>
        <v>15</v>
      </c>
      <c r="D21" s="6" t="str">
        <f aca="false">'Risk Assessment'!M22</f>
        <v>High</v>
      </c>
    </row>
    <row r="22" customFormat="false" ht="15" hidden="false" customHeight="false" outlineLevel="0" collapsed="false">
      <c r="A22" s="4" t="str">
        <f aca="false">'Risk Assessment'!A23</f>
        <v>R-019</v>
      </c>
      <c r="B22" s="4" t="str">
        <f aca="false">'Risk Assessment'!B23</f>
        <v>Insufficient CI/CD audit logging</v>
      </c>
      <c r="C22" s="5" t="n">
        <f aca="false">'Risk Assessment'!L23</f>
        <v>12</v>
      </c>
      <c r="D22" s="6" t="str">
        <f aca="false">'Risk Assessment'!M23</f>
        <v>High</v>
      </c>
    </row>
    <row r="23" customFormat="false" ht="15" hidden="false" customHeight="false" outlineLevel="0" collapsed="false">
      <c r="A23" s="4" t="str">
        <f aca="false">'Risk Assessment'!A24</f>
        <v>R-020</v>
      </c>
      <c r="B23" s="4" t="str">
        <f aca="false">'Risk Assessment'!B24</f>
        <v>Operations team insider misuses CI or vault administration</v>
      </c>
      <c r="C23" s="5" t="n">
        <f aca="false">'Risk Assessment'!L24</f>
        <v>10</v>
      </c>
      <c r="D23" s="6" t="str">
        <f aca="false">'Risk Assessment'!M24</f>
        <v>Medium</v>
      </c>
    </row>
  </sheetData>
  <conditionalFormatting sqref="D4:D23">
    <cfRule type="expression" priority="2" aboveAverage="0" equalAverage="0" bottom="0" percent="0" rank="0" text="" dxfId="0">
      <formula>D4="Critical"</formula>
    </cfRule>
    <cfRule type="expression" priority="3" aboveAverage="0" equalAverage="0" bottom="0" percent="0" rank="0" text="" dxfId="1">
      <formula>D4="High"</formula>
    </cfRule>
    <cfRule type="expression" priority="4" aboveAverage="0" equalAverage="0" bottom="0" percent="0" rank="0" text="" dxfId="2">
      <formula>D4="Medium"</formula>
    </cfRule>
    <cfRule type="expression" priority="5" aboveAverage="0" equalAverage="0" bottom="0" percent="0" rank="0" text="" dxfId="3">
      <formula>D4="Low"</formula>
    </cfRule>
  </conditionalFormatting>
  <conditionalFormatting sqref="F4:F7">
    <cfRule type="expression" priority="6" aboveAverage="0" equalAverage="0" bottom="0" percent="0" rank="0" text="" dxfId="0">
      <formula>F4="Critical"</formula>
    </cfRule>
    <cfRule type="expression" priority="7" aboveAverage="0" equalAverage="0" bottom="0" percent="0" rank="0" text="" dxfId="1">
      <formula>F4="High"</formula>
    </cfRule>
    <cfRule type="expression" priority="8" aboveAverage="0" equalAverage="0" bottom="0" percent="0" rank="0" text="" dxfId="2">
      <formula>F4="Medium"</formula>
    </cfRule>
    <cfRule type="expression" priority="9" aboveAverage="0" equalAverage="0" bottom="0" percent="0" rank="0" text="" dxfId="3">
      <formula>F4="Low"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36"/>
    <col collapsed="false" customWidth="true" hidden="false" outlineLevel="0" max="5" min="5" style="0" width="40"/>
    <col collapsed="false" customWidth="true" hidden="false" outlineLevel="0" max="6" min="6" style="0" width="38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36"/>
    <col collapsed="false" customWidth="true" hidden="false" outlineLevel="0" max="10" min="10" style="0" width="11"/>
    <col collapsed="false" customWidth="true" hidden="false" outlineLevel="0" max="12" min="11" style="0" width="10"/>
    <col collapsed="false" customWidth="true" hidden="false" outlineLevel="0" max="13" min="13" style="0" width="11"/>
    <col collapsed="false" customWidth="true" hidden="false" outlineLevel="0" max="14" min="14" style="0" width="46"/>
    <col collapsed="false" customWidth="true" hidden="false" outlineLevel="0" max="15" min="15" style="0" width="22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10" t="s">
        <v>11</v>
      </c>
    </row>
    <row r="2" customFormat="false" ht="15" hidden="false" customHeight="false" outlineLevel="0" collapsed="false">
      <c r="A2" s="11" t="s">
        <v>12</v>
      </c>
    </row>
    <row r="4" customFormat="false" ht="31.5" hidden="false" customHeight="true" outlineLevel="0" collapsed="false">
      <c r="A4" s="2" t="s">
        <v>1</v>
      </c>
      <c r="B4" s="2" t="s">
        <v>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3</v>
      </c>
      <c r="M4" s="2" t="s">
        <v>4</v>
      </c>
      <c r="N4" s="2" t="s">
        <v>22</v>
      </c>
      <c r="O4" s="2" t="s">
        <v>23</v>
      </c>
      <c r="P4" s="2" t="s">
        <v>24</v>
      </c>
    </row>
    <row r="5" customFormat="false" ht="41.75" hidden="false" customHeight="false" outlineLevel="0" collapsed="false">
      <c r="A5" s="12" t="s">
        <v>25</v>
      </c>
      <c r="B5" s="12" t="s">
        <v>26</v>
      </c>
      <c r="C5" s="12" t="s">
        <v>27</v>
      </c>
      <c r="D5" s="12" t="s">
        <v>28</v>
      </c>
      <c r="E5" s="12" t="s">
        <v>29</v>
      </c>
      <c r="F5" s="12" t="s">
        <v>30</v>
      </c>
      <c r="G5" s="12" t="s">
        <v>31</v>
      </c>
      <c r="H5" s="12" t="s">
        <v>6</v>
      </c>
      <c r="I5" s="12" t="s">
        <v>32</v>
      </c>
      <c r="J5" s="13" t="n">
        <v>3</v>
      </c>
      <c r="K5" s="13" t="n">
        <v>5</v>
      </c>
      <c r="L5" s="14" t="n">
        <f aca="false">J5*K5</f>
        <v>15</v>
      </c>
      <c r="M5" s="15" t="str">
        <f aca="false">IF(L5&gt;=20,"Critical",IF(L5&gt;=12,"High",IF(L5&gt;=6,"Medium","Low")))</f>
        <v>High</v>
      </c>
      <c r="N5" s="12" t="s">
        <v>33</v>
      </c>
      <c r="O5" s="12" t="s">
        <v>34</v>
      </c>
      <c r="P5" s="12" t="s">
        <v>35</v>
      </c>
    </row>
    <row r="6" customFormat="false" ht="41.75" hidden="false" customHeight="false" outlineLevel="0" collapsed="false">
      <c r="A6" s="12" t="s">
        <v>36</v>
      </c>
      <c r="B6" s="12" t="s">
        <v>37</v>
      </c>
      <c r="C6" s="12" t="s">
        <v>38</v>
      </c>
      <c r="D6" s="12" t="s">
        <v>39</v>
      </c>
      <c r="E6" s="12" t="s">
        <v>40</v>
      </c>
      <c r="F6" s="12" t="s">
        <v>41</v>
      </c>
      <c r="G6" s="12" t="s">
        <v>31</v>
      </c>
      <c r="H6" s="12" t="s">
        <v>7</v>
      </c>
      <c r="I6" s="12" t="s">
        <v>42</v>
      </c>
      <c r="J6" s="13" t="n">
        <v>3</v>
      </c>
      <c r="K6" s="13" t="n">
        <v>5</v>
      </c>
      <c r="L6" s="14" t="n">
        <f aca="false">J6*K6</f>
        <v>15</v>
      </c>
      <c r="M6" s="15" t="str">
        <f aca="false">IF(L6&gt;=20,"Critical",IF(L6&gt;=12,"High",IF(L6&gt;=6,"Medium","Low")))</f>
        <v>High</v>
      </c>
      <c r="N6" s="12" t="s">
        <v>43</v>
      </c>
      <c r="O6" s="12" t="s">
        <v>44</v>
      </c>
      <c r="P6" s="12" t="s">
        <v>45</v>
      </c>
    </row>
    <row r="7" customFormat="false" ht="41.75" hidden="false" customHeight="false" outlineLevel="0" collapsed="false">
      <c r="A7" s="12" t="s">
        <v>46</v>
      </c>
      <c r="B7" s="12" t="s">
        <v>47</v>
      </c>
      <c r="C7" s="12" t="s">
        <v>48</v>
      </c>
      <c r="D7" s="12" t="s">
        <v>49</v>
      </c>
      <c r="E7" s="12" t="s">
        <v>50</v>
      </c>
      <c r="F7" s="12" t="s">
        <v>51</v>
      </c>
      <c r="G7" s="12" t="s">
        <v>52</v>
      </c>
      <c r="H7" s="12" t="s">
        <v>8</v>
      </c>
      <c r="I7" s="12" t="s">
        <v>53</v>
      </c>
      <c r="J7" s="13" t="n">
        <v>2</v>
      </c>
      <c r="K7" s="13" t="n">
        <v>3</v>
      </c>
      <c r="L7" s="14" t="n">
        <f aca="false">J7*K7</f>
        <v>6</v>
      </c>
      <c r="M7" s="15" t="str">
        <f aca="false">IF(L7&gt;=20,"Critical",IF(L7&gt;=12,"High",IF(L7&gt;=6,"Medium","Low")))</f>
        <v>Medium</v>
      </c>
      <c r="N7" s="12" t="s">
        <v>54</v>
      </c>
      <c r="O7" s="12" t="s">
        <v>55</v>
      </c>
      <c r="P7" s="12" t="s">
        <v>52</v>
      </c>
    </row>
    <row r="8" customFormat="false" ht="41.75" hidden="false" customHeight="false" outlineLevel="0" collapsed="false">
      <c r="A8" s="12" t="s">
        <v>56</v>
      </c>
      <c r="B8" s="12" t="s">
        <v>57</v>
      </c>
      <c r="C8" s="12" t="s">
        <v>38</v>
      </c>
      <c r="D8" s="12" t="s">
        <v>58</v>
      </c>
      <c r="E8" s="12" t="s">
        <v>59</v>
      </c>
      <c r="F8" s="12" t="s">
        <v>60</v>
      </c>
      <c r="G8" s="12" t="s">
        <v>61</v>
      </c>
      <c r="H8" s="12" t="s">
        <v>7</v>
      </c>
      <c r="I8" s="12" t="s">
        <v>62</v>
      </c>
      <c r="J8" s="13" t="n">
        <v>4</v>
      </c>
      <c r="K8" s="13" t="n">
        <v>3</v>
      </c>
      <c r="L8" s="14" t="n">
        <f aca="false">J8*K8</f>
        <v>12</v>
      </c>
      <c r="M8" s="15" t="str">
        <f aca="false">IF(L8&gt;=20,"Critical",IF(L8&gt;=12,"High",IF(L8&gt;=6,"Medium","Low")))</f>
        <v>High</v>
      </c>
      <c r="N8" s="12" t="s">
        <v>63</v>
      </c>
      <c r="O8" s="12" t="s">
        <v>64</v>
      </c>
      <c r="P8" s="12" t="s">
        <v>65</v>
      </c>
    </row>
    <row r="9" customFormat="false" ht="41.75" hidden="false" customHeight="false" outlineLevel="0" collapsed="false">
      <c r="A9" s="12" t="s">
        <v>66</v>
      </c>
      <c r="B9" s="12" t="s">
        <v>67</v>
      </c>
      <c r="C9" s="12" t="s">
        <v>38</v>
      </c>
      <c r="D9" s="12" t="s">
        <v>68</v>
      </c>
      <c r="E9" s="12" t="s">
        <v>69</v>
      </c>
      <c r="F9" s="12" t="s">
        <v>70</v>
      </c>
      <c r="G9" s="12" t="s">
        <v>71</v>
      </c>
      <c r="H9" s="12" t="s">
        <v>6</v>
      </c>
      <c r="I9" s="12" t="s">
        <v>72</v>
      </c>
      <c r="J9" s="13" t="n">
        <v>3</v>
      </c>
      <c r="K9" s="13" t="n">
        <v>5</v>
      </c>
      <c r="L9" s="14" t="n">
        <f aca="false">J9*K9</f>
        <v>15</v>
      </c>
      <c r="M9" s="15" t="str">
        <f aca="false">IF(L9&gt;=20,"Critical",IF(L9&gt;=12,"High",IF(L9&gt;=6,"Medium","Low")))</f>
        <v>High</v>
      </c>
      <c r="N9" s="12" t="s">
        <v>73</v>
      </c>
      <c r="O9" s="12" t="s">
        <v>74</v>
      </c>
      <c r="P9" s="12" t="s">
        <v>75</v>
      </c>
    </row>
    <row r="10" customFormat="false" ht="41.75" hidden="false" customHeight="false" outlineLevel="0" collapsed="false">
      <c r="A10" s="12" t="s">
        <v>76</v>
      </c>
      <c r="B10" s="12" t="s">
        <v>77</v>
      </c>
      <c r="C10" s="12" t="s">
        <v>78</v>
      </c>
      <c r="D10" s="12" t="s">
        <v>79</v>
      </c>
      <c r="E10" s="12" t="s">
        <v>80</v>
      </c>
      <c r="F10" s="12" t="s">
        <v>81</v>
      </c>
      <c r="G10" s="12" t="s">
        <v>31</v>
      </c>
      <c r="H10" s="12" t="s">
        <v>8</v>
      </c>
      <c r="I10" s="12" t="s">
        <v>82</v>
      </c>
      <c r="J10" s="13" t="n">
        <v>2</v>
      </c>
      <c r="K10" s="13" t="n">
        <v>4</v>
      </c>
      <c r="L10" s="14" t="n">
        <f aca="false">J10*K10</f>
        <v>8</v>
      </c>
      <c r="M10" s="15" t="str">
        <f aca="false">IF(L10&gt;=20,"Critical",IF(L10&gt;=12,"High",IF(L10&gt;=6,"Medium","Low")))</f>
        <v>Medium</v>
      </c>
      <c r="N10" s="12" t="s">
        <v>83</v>
      </c>
      <c r="O10" s="12" t="s">
        <v>64</v>
      </c>
      <c r="P10" s="12" t="s">
        <v>31</v>
      </c>
    </row>
    <row r="11" customFormat="false" ht="41.75" hidden="false" customHeight="false" outlineLevel="0" collapsed="false">
      <c r="A11" s="12" t="s">
        <v>84</v>
      </c>
      <c r="B11" s="12" t="s">
        <v>85</v>
      </c>
      <c r="C11" s="12" t="s">
        <v>86</v>
      </c>
      <c r="D11" s="12" t="s">
        <v>87</v>
      </c>
      <c r="E11" s="12" t="s">
        <v>88</v>
      </c>
      <c r="F11" s="12" t="s">
        <v>89</v>
      </c>
      <c r="G11" s="12" t="s">
        <v>90</v>
      </c>
      <c r="H11" s="12" t="s">
        <v>6</v>
      </c>
      <c r="I11" s="12" t="s">
        <v>91</v>
      </c>
      <c r="J11" s="13" t="n">
        <v>3</v>
      </c>
      <c r="K11" s="13" t="n">
        <v>5</v>
      </c>
      <c r="L11" s="14" t="n">
        <f aca="false">J11*K11</f>
        <v>15</v>
      </c>
      <c r="M11" s="15" t="str">
        <f aca="false">IF(L11&gt;=20,"Critical",IF(L11&gt;=12,"High",IF(L11&gt;=6,"Medium","Low")))</f>
        <v>High</v>
      </c>
      <c r="N11" s="12" t="s">
        <v>92</v>
      </c>
      <c r="O11" s="12" t="s">
        <v>93</v>
      </c>
      <c r="P11" s="12" t="s">
        <v>94</v>
      </c>
    </row>
    <row r="12" customFormat="false" ht="41.75" hidden="false" customHeight="false" outlineLevel="0" collapsed="false">
      <c r="A12" s="12" t="s">
        <v>95</v>
      </c>
      <c r="B12" s="12" t="s">
        <v>96</v>
      </c>
      <c r="C12" s="12" t="s">
        <v>86</v>
      </c>
      <c r="D12" s="12" t="s">
        <v>97</v>
      </c>
      <c r="E12" s="12" t="s">
        <v>98</v>
      </c>
      <c r="F12" s="12" t="s">
        <v>99</v>
      </c>
      <c r="G12" s="12" t="s">
        <v>100</v>
      </c>
      <c r="H12" s="12" t="s">
        <v>7</v>
      </c>
      <c r="I12" s="12" t="s">
        <v>101</v>
      </c>
      <c r="J12" s="13" t="n">
        <v>3</v>
      </c>
      <c r="K12" s="13" t="n">
        <v>5</v>
      </c>
      <c r="L12" s="14" t="n">
        <f aca="false">J12*K12</f>
        <v>15</v>
      </c>
      <c r="M12" s="15" t="str">
        <f aca="false">IF(L12&gt;=20,"Critical",IF(L12&gt;=12,"High",IF(L12&gt;=6,"Medium","Low")))</f>
        <v>High</v>
      </c>
      <c r="N12" s="12" t="s">
        <v>102</v>
      </c>
      <c r="O12" s="12" t="s">
        <v>55</v>
      </c>
      <c r="P12" s="12" t="s">
        <v>103</v>
      </c>
    </row>
    <row r="13" customFormat="false" ht="41.75" hidden="false" customHeight="false" outlineLevel="0" collapsed="false">
      <c r="A13" s="12" t="s">
        <v>104</v>
      </c>
      <c r="B13" s="12" t="s">
        <v>105</v>
      </c>
      <c r="C13" s="12" t="s">
        <v>106</v>
      </c>
      <c r="D13" s="12" t="s">
        <v>107</v>
      </c>
      <c r="E13" s="12" t="s">
        <v>108</v>
      </c>
      <c r="F13" s="12" t="s">
        <v>109</v>
      </c>
      <c r="G13" s="12" t="s">
        <v>110</v>
      </c>
      <c r="H13" s="12" t="s">
        <v>6</v>
      </c>
      <c r="I13" s="12" t="s">
        <v>111</v>
      </c>
      <c r="J13" s="13" t="n">
        <v>3</v>
      </c>
      <c r="K13" s="13" t="n">
        <v>5</v>
      </c>
      <c r="L13" s="14" t="n">
        <f aca="false">J13*K13</f>
        <v>15</v>
      </c>
      <c r="M13" s="15" t="str">
        <f aca="false">IF(L13&gt;=20,"Critical",IF(L13&gt;=12,"High",IF(L13&gt;=6,"Medium","Low")))</f>
        <v>High</v>
      </c>
      <c r="N13" s="12" t="s">
        <v>112</v>
      </c>
      <c r="O13" s="12" t="s">
        <v>113</v>
      </c>
      <c r="P13" s="12" t="s">
        <v>114</v>
      </c>
    </row>
    <row r="14" customFormat="false" ht="28.35" hidden="false" customHeight="false" outlineLevel="0" collapsed="false">
      <c r="A14" s="12" t="s">
        <v>115</v>
      </c>
      <c r="B14" s="12" t="s">
        <v>116</v>
      </c>
      <c r="C14" s="12" t="s">
        <v>38</v>
      </c>
      <c r="D14" s="12" t="s">
        <v>117</v>
      </c>
      <c r="E14" s="12" t="s">
        <v>118</v>
      </c>
      <c r="F14" s="12" t="s">
        <v>119</v>
      </c>
      <c r="G14" s="12" t="s">
        <v>120</v>
      </c>
      <c r="H14" s="12" t="s">
        <v>7</v>
      </c>
      <c r="I14" s="12" t="s">
        <v>121</v>
      </c>
      <c r="J14" s="13" t="n">
        <v>3</v>
      </c>
      <c r="K14" s="13" t="n">
        <v>4</v>
      </c>
      <c r="L14" s="14" t="n">
        <f aca="false">J14*K14</f>
        <v>12</v>
      </c>
      <c r="M14" s="15" t="str">
        <f aca="false">IF(L14&gt;=20,"Critical",IF(L14&gt;=12,"High",IF(L14&gt;=6,"Medium","Low")))</f>
        <v>High</v>
      </c>
      <c r="N14" s="12" t="s">
        <v>122</v>
      </c>
      <c r="O14" s="12" t="s">
        <v>64</v>
      </c>
      <c r="P14" s="12" t="s">
        <v>123</v>
      </c>
    </row>
    <row r="15" customFormat="false" ht="41.75" hidden="false" customHeight="false" outlineLevel="0" collapsed="false">
      <c r="A15" s="12" t="s">
        <v>124</v>
      </c>
      <c r="B15" s="12" t="s">
        <v>125</v>
      </c>
      <c r="C15" s="12" t="s">
        <v>126</v>
      </c>
      <c r="D15" s="12" t="s">
        <v>127</v>
      </c>
      <c r="E15" s="12" t="s">
        <v>128</v>
      </c>
      <c r="F15" s="12" t="s">
        <v>129</v>
      </c>
      <c r="G15" s="12" t="s">
        <v>130</v>
      </c>
      <c r="H15" s="12" t="s">
        <v>7</v>
      </c>
      <c r="I15" s="12" t="s">
        <v>131</v>
      </c>
      <c r="J15" s="13" t="n">
        <v>3</v>
      </c>
      <c r="K15" s="13" t="n">
        <v>4</v>
      </c>
      <c r="L15" s="14" t="n">
        <f aca="false">J15*K15</f>
        <v>12</v>
      </c>
      <c r="M15" s="15" t="str">
        <f aca="false">IF(L15&gt;=20,"Critical",IF(L15&gt;=12,"High",IF(L15&gt;=6,"Medium","Low")))</f>
        <v>High</v>
      </c>
      <c r="N15" s="12" t="s">
        <v>132</v>
      </c>
      <c r="O15" s="12" t="s">
        <v>64</v>
      </c>
      <c r="P15" s="12" t="s">
        <v>133</v>
      </c>
    </row>
    <row r="16" customFormat="false" ht="41.75" hidden="false" customHeight="false" outlineLevel="0" collapsed="false">
      <c r="A16" s="12" t="s">
        <v>134</v>
      </c>
      <c r="B16" s="12" t="s">
        <v>135</v>
      </c>
      <c r="C16" s="12" t="s">
        <v>136</v>
      </c>
      <c r="D16" s="12" t="s">
        <v>137</v>
      </c>
      <c r="E16" s="12" t="s">
        <v>138</v>
      </c>
      <c r="F16" s="12" t="s">
        <v>139</v>
      </c>
      <c r="G16" s="12" t="s">
        <v>140</v>
      </c>
      <c r="H16" s="12" t="s">
        <v>6</v>
      </c>
      <c r="I16" s="12" t="s">
        <v>141</v>
      </c>
      <c r="J16" s="13" t="n">
        <v>2</v>
      </c>
      <c r="K16" s="13" t="n">
        <v>5</v>
      </c>
      <c r="L16" s="14" t="n">
        <f aca="false">J16*K16</f>
        <v>10</v>
      </c>
      <c r="M16" s="15" t="str">
        <f aca="false">IF(L16&gt;=20,"Critical",IF(L16&gt;=12,"High",IF(L16&gt;=6,"Medium","Low")))</f>
        <v>Medium</v>
      </c>
      <c r="N16" s="12" t="s">
        <v>142</v>
      </c>
      <c r="O16" s="12" t="s">
        <v>143</v>
      </c>
      <c r="P16" s="12" t="s">
        <v>144</v>
      </c>
    </row>
    <row r="17" customFormat="false" ht="41.75" hidden="false" customHeight="false" outlineLevel="0" collapsed="false">
      <c r="A17" s="12" t="s">
        <v>145</v>
      </c>
      <c r="B17" s="12" t="s">
        <v>146</v>
      </c>
      <c r="C17" s="12" t="s">
        <v>27</v>
      </c>
      <c r="D17" s="12" t="s">
        <v>147</v>
      </c>
      <c r="E17" s="12" t="s">
        <v>148</v>
      </c>
      <c r="F17" s="12" t="s">
        <v>149</v>
      </c>
      <c r="G17" s="12" t="s">
        <v>150</v>
      </c>
      <c r="H17" s="12" t="s">
        <v>6</v>
      </c>
      <c r="I17" s="12" t="s">
        <v>151</v>
      </c>
      <c r="J17" s="13" t="n">
        <v>4</v>
      </c>
      <c r="K17" s="13" t="n">
        <v>5</v>
      </c>
      <c r="L17" s="14" t="n">
        <f aca="false">J17*K17</f>
        <v>20</v>
      </c>
      <c r="M17" s="15" t="str">
        <f aca="false">IF(L17&gt;=20,"Critical",IF(L17&gt;=12,"High",IF(L17&gt;=6,"Medium","Low")))</f>
        <v>Critical</v>
      </c>
      <c r="N17" s="12" t="s">
        <v>152</v>
      </c>
      <c r="O17" s="12" t="s">
        <v>153</v>
      </c>
      <c r="P17" s="12" t="s">
        <v>154</v>
      </c>
    </row>
    <row r="18" customFormat="false" ht="41.75" hidden="false" customHeight="false" outlineLevel="0" collapsed="false">
      <c r="A18" s="12" t="s">
        <v>155</v>
      </c>
      <c r="B18" s="12" t="s">
        <v>156</v>
      </c>
      <c r="C18" s="12" t="s">
        <v>38</v>
      </c>
      <c r="D18" s="12" t="s">
        <v>127</v>
      </c>
      <c r="E18" s="12" t="s">
        <v>157</v>
      </c>
      <c r="F18" s="12" t="s">
        <v>158</v>
      </c>
      <c r="G18" s="12" t="s">
        <v>159</v>
      </c>
      <c r="H18" s="12" t="s">
        <v>7</v>
      </c>
      <c r="I18" s="12" t="s">
        <v>160</v>
      </c>
      <c r="J18" s="13" t="n">
        <v>2</v>
      </c>
      <c r="K18" s="13" t="n">
        <v>5</v>
      </c>
      <c r="L18" s="14" t="n">
        <f aca="false">J18*K18</f>
        <v>10</v>
      </c>
      <c r="M18" s="15" t="str">
        <f aca="false">IF(L18&gt;=20,"Critical",IF(L18&gt;=12,"High",IF(L18&gt;=6,"Medium","Low")))</f>
        <v>Medium</v>
      </c>
      <c r="N18" s="12" t="s">
        <v>161</v>
      </c>
      <c r="O18" s="12" t="s">
        <v>162</v>
      </c>
      <c r="P18" s="12" t="s">
        <v>163</v>
      </c>
    </row>
    <row r="19" customFormat="false" ht="41.75" hidden="false" customHeight="false" outlineLevel="0" collapsed="false">
      <c r="A19" s="12" t="s">
        <v>164</v>
      </c>
      <c r="B19" s="12" t="s">
        <v>165</v>
      </c>
      <c r="C19" s="12" t="s">
        <v>86</v>
      </c>
      <c r="D19" s="12" t="s">
        <v>166</v>
      </c>
      <c r="E19" s="12" t="s">
        <v>167</v>
      </c>
      <c r="F19" s="12" t="s">
        <v>168</v>
      </c>
      <c r="G19" s="12" t="s">
        <v>169</v>
      </c>
      <c r="H19" s="12" t="s">
        <v>6</v>
      </c>
      <c r="I19" s="12" t="s">
        <v>170</v>
      </c>
      <c r="J19" s="13" t="n">
        <v>3</v>
      </c>
      <c r="K19" s="13" t="n">
        <v>5</v>
      </c>
      <c r="L19" s="14" t="n">
        <f aca="false">J19*K19</f>
        <v>15</v>
      </c>
      <c r="M19" s="15" t="str">
        <f aca="false">IF(L19&gt;=20,"Critical",IF(L19&gt;=12,"High",IF(L19&gt;=6,"Medium","Low")))</f>
        <v>High</v>
      </c>
      <c r="N19" s="12" t="s">
        <v>171</v>
      </c>
      <c r="O19" s="12" t="s">
        <v>162</v>
      </c>
      <c r="P19" s="12" t="s">
        <v>172</v>
      </c>
    </row>
    <row r="20" customFormat="false" ht="41.75" hidden="false" customHeight="false" outlineLevel="0" collapsed="false">
      <c r="A20" s="12" t="s">
        <v>173</v>
      </c>
      <c r="B20" s="12" t="s">
        <v>174</v>
      </c>
      <c r="C20" s="12" t="s">
        <v>175</v>
      </c>
      <c r="D20" s="12" t="s">
        <v>176</v>
      </c>
      <c r="E20" s="12" t="s">
        <v>177</v>
      </c>
      <c r="F20" s="12" t="s">
        <v>178</v>
      </c>
      <c r="G20" s="12" t="s">
        <v>179</v>
      </c>
      <c r="H20" s="12" t="s">
        <v>7</v>
      </c>
      <c r="I20" s="12" t="s">
        <v>180</v>
      </c>
      <c r="J20" s="13" t="n">
        <v>3</v>
      </c>
      <c r="K20" s="13" t="n">
        <v>5</v>
      </c>
      <c r="L20" s="14" t="n">
        <f aca="false">J20*K20</f>
        <v>15</v>
      </c>
      <c r="M20" s="15" t="str">
        <f aca="false">IF(L20&gt;=20,"Critical",IF(L20&gt;=12,"High",IF(L20&gt;=6,"Medium","Low")))</f>
        <v>High</v>
      </c>
      <c r="N20" s="12" t="s">
        <v>181</v>
      </c>
      <c r="O20" s="12" t="s">
        <v>162</v>
      </c>
      <c r="P20" s="12" t="s">
        <v>179</v>
      </c>
    </row>
    <row r="21" customFormat="false" ht="41.75" hidden="false" customHeight="false" outlineLevel="0" collapsed="false">
      <c r="A21" s="12" t="s">
        <v>182</v>
      </c>
      <c r="B21" s="12" t="s">
        <v>183</v>
      </c>
      <c r="C21" s="12" t="s">
        <v>184</v>
      </c>
      <c r="D21" s="12" t="s">
        <v>185</v>
      </c>
      <c r="E21" s="12" t="s">
        <v>186</v>
      </c>
      <c r="F21" s="12" t="s">
        <v>187</v>
      </c>
      <c r="G21" s="12" t="s">
        <v>188</v>
      </c>
      <c r="H21" s="12" t="s">
        <v>7</v>
      </c>
      <c r="I21" s="12" t="s">
        <v>189</v>
      </c>
      <c r="J21" s="13" t="n">
        <v>4</v>
      </c>
      <c r="K21" s="13" t="n">
        <v>4</v>
      </c>
      <c r="L21" s="14" t="n">
        <f aca="false">J21*K21</f>
        <v>16</v>
      </c>
      <c r="M21" s="15" t="str">
        <f aca="false">IF(L21&gt;=20,"Critical",IF(L21&gt;=12,"High",IF(L21&gt;=6,"Medium","Low")))</f>
        <v>High</v>
      </c>
      <c r="N21" s="12" t="s">
        <v>190</v>
      </c>
      <c r="O21" s="12" t="s">
        <v>191</v>
      </c>
      <c r="P21" s="12" t="s">
        <v>192</v>
      </c>
    </row>
    <row r="22" customFormat="false" ht="41.75" hidden="false" customHeight="false" outlineLevel="0" collapsed="false">
      <c r="A22" s="12" t="s">
        <v>193</v>
      </c>
      <c r="B22" s="12" t="s">
        <v>194</v>
      </c>
      <c r="C22" s="12" t="s">
        <v>184</v>
      </c>
      <c r="D22" s="12" t="s">
        <v>195</v>
      </c>
      <c r="E22" s="12" t="s">
        <v>196</v>
      </c>
      <c r="F22" s="12" t="s">
        <v>197</v>
      </c>
      <c r="G22" s="12" t="s">
        <v>198</v>
      </c>
      <c r="H22" s="12" t="s">
        <v>6</v>
      </c>
      <c r="I22" s="12" t="s">
        <v>199</v>
      </c>
      <c r="J22" s="13" t="n">
        <v>3</v>
      </c>
      <c r="K22" s="13" t="n">
        <v>5</v>
      </c>
      <c r="L22" s="14" t="n">
        <f aca="false">J22*K22</f>
        <v>15</v>
      </c>
      <c r="M22" s="15" t="str">
        <f aca="false">IF(L22&gt;=20,"Critical",IF(L22&gt;=12,"High",IF(L22&gt;=6,"Medium","Low")))</f>
        <v>High</v>
      </c>
      <c r="N22" s="12" t="s">
        <v>200</v>
      </c>
      <c r="O22" s="12" t="s">
        <v>201</v>
      </c>
      <c r="P22" s="12" t="s">
        <v>202</v>
      </c>
    </row>
    <row r="23" customFormat="false" ht="41.75" hidden="false" customHeight="false" outlineLevel="0" collapsed="false">
      <c r="A23" s="12" t="s">
        <v>203</v>
      </c>
      <c r="B23" s="12" t="s">
        <v>204</v>
      </c>
      <c r="C23" s="12" t="s">
        <v>205</v>
      </c>
      <c r="D23" s="12" t="s">
        <v>206</v>
      </c>
      <c r="E23" s="12" t="s">
        <v>207</v>
      </c>
      <c r="F23" s="12" t="s">
        <v>208</v>
      </c>
      <c r="G23" s="12" t="s">
        <v>209</v>
      </c>
      <c r="H23" s="12" t="s">
        <v>8</v>
      </c>
      <c r="I23" s="12" t="s">
        <v>210</v>
      </c>
      <c r="J23" s="13" t="n">
        <v>3</v>
      </c>
      <c r="K23" s="13" t="n">
        <v>4</v>
      </c>
      <c r="L23" s="14" t="n">
        <f aca="false">J23*K23</f>
        <v>12</v>
      </c>
      <c r="M23" s="15" t="str">
        <f aca="false">IF(L23&gt;=20,"Critical",IF(L23&gt;=12,"High",IF(L23&gt;=6,"Medium","Low")))</f>
        <v>High</v>
      </c>
      <c r="N23" s="12" t="s">
        <v>211</v>
      </c>
      <c r="O23" s="12" t="s">
        <v>212</v>
      </c>
      <c r="P23" s="12" t="s">
        <v>213</v>
      </c>
    </row>
    <row r="24" customFormat="false" ht="28.35" hidden="false" customHeight="false" outlineLevel="0" collapsed="false">
      <c r="A24" s="12" t="s">
        <v>214</v>
      </c>
      <c r="B24" s="12" t="s">
        <v>215</v>
      </c>
      <c r="C24" s="12" t="s">
        <v>216</v>
      </c>
      <c r="D24" s="12" t="s">
        <v>217</v>
      </c>
      <c r="E24" s="12" t="s">
        <v>218</v>
      </c>
      <c r="F24" s="12" t="s">
        <v>219</v>
      </c>
      <c r="G24" s="12" t="s">
        <v>220</v>
      </c>
      <c r="H24" s="12" t="s">
        <v>7</v>
      </c>
      <c r="I24" s="12" t="s">
        <v>221</v>
      </c>
      <c r="J24" s="13" t="n">
        <v>2</v>
      </c>
      <c r="K24" s="13" t="n">
        <v>5</v>
      </c>
      <c r="L24" s="14" t="n">
        <f aca="false">J24*K24</f>
        <v>10</v>
      </c>
      <c r="M24" s="15" t="str">
        <f aca="false">IF(L24&gt;=20,"Critical",IF(L24&gt;=12,"High",IF(L24&gt;=6,"Medium","Low")))</f>
        <v>Medium</v>
      </c>
      <c r="N24" s="12" t="s">
        <v>222</v>
      </c>
      <c r="O24" s="12" t="s">
        <v>223</v>
      </c>
      <c r="P24" s="12" t="s">
        <v>224</v>
      </c>
    </row>
  </sheetData>
  <conditionalFormatting sqref="M5:M24">
    <cfRule type="expression" priority="2" aboveAverage="0" equalAverage="0" bottom="0" percent="0" rank="0" text="" dxfId="0">
      <formula>M5="Critical"</formula>
    </cfRule>
    <cfRule type="expression" priority="3" aboveAverage="0" equalAverage="0" bottom="0" percent="0" rank="0" text="" dxfId="1">
      <formula>M5="High"</formula>
    </cfRule>
    <cfRule type="expression" priority="4" aboveAverage="0" equalAverage="0" bottom="0" percent="0" rank="0" text="" dxfId="2">
      <formula>M5="Medium"</formula>
    </cfRule>
    <cfRule type="expression" priority="5" aboveAverage="0" equalAverage="0" bottom="0" percent="0" rank="0" text="" dxfId="3">
      <formula>M5="Low"</formula>
    </cfRule>
  </conditionalFormatting>
  <conditionalFormatting sqref="L5:L24">
    <cfRule type="colorScale" priority="6">
      <colorScale>
        <cfvo type="num" val="1"/>
        <cfvo type="num" val="12"/>
        <cfvo type="num" val="25"/>
        <color rgb="FFA9D18E"/>
        <color rgb="FFF4E06A"/>
        <color rgb="FFE46C4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2" t="s">
        <v>225</v>
      </c>
      <c r="B1" s="2" t="s">
        <v>226</v>
      </c>
      <c r="C1" s="2" t="s">
        <v>227</v>
      </c>
      <c r="D1" s="2" t="s">
        <v>228</v>
      </c>
      <c r="E1" s="2" t="s">
        <v>229</v>
      </c>
    </row>
    <row r="2" customFormat="false" ht="55.2" hidden="false" customHeight="false" outlineLevel="0" collapsed="false">
      <c r="A2" s="12" t="s">
        <v>230</v>
      </c>
      <c r="B2" s="12" t="s">
        <v>6</v>
      </c>
      <c r="C2" s="12" t="s">
        <v>231</v>
      </c>
      <c r="D2" s="12" t="s">
        <v>232</v>
      </c>
      <c r="E2" s="12" t="s">
        <v>233</v>
      </c>
    </row>
    <row r="3" customFormat="false" ht="41.75" hidden="false" customHeight="false" outlineLevel="0" collapsed="false">
      <c r="A3" s="12" t="s">
        <v>234</v>
      </c>
      <c r="B3" s="12" t="s">
        <v>7</v>
      </c>
      <c r="C3" s="12" t="s">
        <v>235</v>
      </c>
      <c r="D3" s="12" t="s">
        <v>236</v>
      </c>
      <c r="E3" s="12" t="s">
        <v>237</v>
      </c>
    </row>
    <row r="4" customFormat="false" ht="41.75" hidden="false" customHeight="false" outlineLevel="0" collapsed="false">
      <c r="A4" s="12" t="s">
        <v>238</v>
      </c>
      <c r="B4" s="12" t="s">
        <v>7</v>
      </c>
      <c r="C4" s="12" t="s">
        <v>239</v>
      </c>
      <c r="D4" s="12" t="s">
        <v>240</v>
      </c>
      <c r="E4" s="12" t="s">
        <v>241</v>
      </c>
    </row>
    <row r="5" customFormat="false" ht="41.75" hidden="false" customHeight="false" outlineLevel="0" collapsed="false">
      <c r="A5" s="12" t="s">
        <v>242</v>
      </c>
      <c r="B5" s="12" t="s">
        <v>243</v>
      </c>
      <c r="C5" s="12" t="s">
        <v>244</v>
      </c>
      <c r="D5" s="12" t="s">
        <v>245</v>
      </c>
      <c r="E5" s="12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0" t="s">
        <v>247</v>
      </c>
    </row>
    <row r="3" customFormat="false" ht="15" hidden="false" customHeight="false" outlineLevel="0" collapsed="false">
      <c r="A3" s="3" t="s">
        <v>248</v>
      </c>
      <c r="B3" s="3" t="s">
        <v>249</v>
      </c>
      <c r="C3" s="3" t="s">
        <v>250</v>
      </c>
    </row>
    <row r="4" customFormat="false" ht="15" hidden="false" customHeight="false" outlineLevel="0" collapsed="false">
      <c r="A4" s="16" t="n">
        <v>1</v>
      </c>
      <c r="B4" s="16" t="s">
        <v>251</v>
      </c>
      <c r="C4" s="16" t="s">
        <v>252</v>
      </c>
    </row>
    <row r="5" customFormat="false" ht="15" hidden="false" customHeight="false" outlineLevel="0" collapsed="false">
      <c r="A5" s="16" t="n">
        <v>2</v>
      </c>
      <c r="B5" s="16" t="s">
        <v>253</v>
      </c>
      <c r="C5" s="16" t="s">
        <v>254</v>
      </c>
    </row>
    <row r="6" customFormat="false" ht="15" hidden="false" customHeight="false" outlineLevel="0" collapsed="false">
      <c r="A6" s="16" t="n">
        <v>3</v>
      </c>
      <c r="B6" s="16" t="s">
        <v>255</v>
      </c>
      <c r="C6" s="16" t="s">
        <v>256</v>
      </c>
    </row>
    <row r="7" customFormat="false" ht="15" hidden="false" customHeight="false" outlineLevel="0" collapsed="false">
      <c r="A7" s="16" t="n">
        <v>4</v>
      </c>
      <c r="B7" s="16" t="s">
        <v>257</v>
      </c>
      <c r="C7" s="16" t="s">
        <v>258</v>
      </c>
    </row>
    <row r="8" customFormat="false" ht="15" hidden="false" customHeight="false" outlineLevel="0" collapsed="false">
      <c r="A8" s="16" t="n">
        <v>5</v>
      </c>
      <c r="B8" s="16" t="s">
        <v>259</v>
      </c>
      <c r="C8" s="16" t="s">
        <v>260</v>
      </c>
    </row>
    <row r="10" customFormat="false" ht="17.35" hidden="false" customHeight="false" outlineLevel="0" collapsed="false">
      <c r="A10" s="10" t="s">
        <v>261</v>
      </c>
    </row>
    <row r="12" customFormat="false" ht="15" hidden="false" customHeight="false" outlineLevel="0" collapsed="false">
      <c r="A12" s="3" t="s">
        <v>248</v>
      </c>
      <c r="B12" s="3" t="s">
        <v>262</v>
      </c>
      <c r="C12" s="3" t="s">
        <v>250</v>
      </c>
    </row>
    <row r="13" customFormat="false" ht="15" hidden="false" customHeight="false" outlineLevel="0" collapsed="false">
      <c r="A13" s="16" t="n">
        <v>1</v>
      </c>
      <c r="B13" s="16" t="s">
        <v>263</v>
      </c>
      <c r="C13" s="16" t="s">
        <v>264</v>
      </c>
    </row>
    <row r="14" customFormat="false" ht="15" hidden="false" customHeight="false" outlineLevel="0" collapsed="false">
      <c r="A14" s="16" t="n">
        <v>2</v>
      </c>
      <c r="B14" s="16" t="s">
        <v>265</v>
      </c>
      <c r="C14" s="16" t="s">
        <v>266</v>
      </c>
    </row>
    <row r="15" customFormat="false" ht="15" hidden="false" customHeight="false" outlineLevel="0" collapsed="false">
      <c r="A15" s="16" t="n">
        <v>3</v>
      </c>
      <c r="B15" s="16" t="s">
        <v>267</v>
      </c>
      <c r="C15" s="16" t="s">
        <v>268</v>
      </c>
    </row>
    <row r="16" customFormat="false" ht="15" hidden="false" customHeight="false" outlineLevel="0" collapsed="false">
      <c r="A16" s="16" t="n">
        <v>4</v>
      </c>
      <c r="B16" s="16" t="s">
        <v>269</v>
      </c>
      <c r="C16" s="16" t="s">
        <v>270</v>
      </c>
    </row>
    <row r="17" customFormat="false" ht="15" hidden="false" customHeight="false" outlineLevel="0" collapsed="false">
      <c r="A17" s="16" t="n">
        <v>5</v>
      </c>
      <c r="B17" s="16" t="s">
        <v>271</v>
      </c>
      <c r="C17" s="16" t="s">
        <v>272</v>
      </c>
    </row>
    <row r="19" customFormat="false" ht="17.35" hidden="false" customHeight="false" outlineLevel="0" collapsed="false">
      <c r="A19" s="10" t="s">
        <v>273</v>
      </c>
    </row>
    <row r="21" customFormat="false" ht="15" hidden="false" customHeight="false" outlineLevel="0" collapsed="false">
      <c r="A21" s="3" t="s">
        <v>274</v>
      </c>
      <c r="B21" s="3" t="s">
        <v>4</v>
      </c>
      <c r="C21" s="3" t="s">
        <v>275</v>
      </c>
    </row>
    <row r="22" customFormat="false" ht="15" hidden="false" customHeight="false" outlineLevel="0" collapsed="false">
      <c r="A22" s="16" t="s">
        <v>276</v>
      </c>
      <c r="B22" s="16" t="s">
        <v>9</v>
      </c>
      <c r="C22" s="16" t="s">
        <v>277</v>
      </c>
    </row>
    <row r="23" customFormat="false" ht="15" hidden="false" customHeight="false" outlineLevel="0" collapsed="false">
      <c r="A23" s="16" t="s">
        <v>278</v>
      </c>
      <c r="B23" s="16" t="s">
        <v>8</v>
      </c>
      <c r="C23" s="16" t="s">
        <v>279</v>
      </c>
    </row>
    <row r="24" customFormat="false" ht="15" hidden="false" customHeight="false" outlineLevel="0" collapsed="false">
      <c r="A24" s="16" t="s">
        <v>280</v>
      </c>
      <c r="B24" s="16" t="s">
        <v>7</v>
      </c>
      <c r="C24" s="16" t="s">
        <v>281</v>
      </c>
    </row>
    <row r="25" customFormat="false" ht="15" hidden="false" customHeight="false" outlineLevel="0" collapsed="false">
      <c r="A25" s="16" t="s">
        <v>282</v>
      </c>
      <c r="B25" s="16" t="s">
        <v>6</v>
      </c>
      <c r="C25" s="16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28.35" hidden="false" customHeight="false" outlineLevel="0" collapsed="false">
      <c r="A1" s="9" t="s">
        <v>284</v>
      </c>
      <c r="B1" s="17" t="s">
        <v>285</v>
      </c>
    </row>
    <row r="3" customFormat="false" ht="28.35" hidden="false" customHeight="false" outlineLevel="0" collapsed="false">
      <c r="A3" s="9" t="s">
        <v>286</v>
      </c>
      <c r="B3" s="17" t="s">
        <v>287</v>
      </c>
    </row>
    <row r="5" customFormat="false" ht="28.35" hidden="false" customHeight="false" outlineLevel="0" collapsed="false">
      <c r="A5" s="9" t="s">
        <v>288</v>
      </c>
      <c r="B5" s="17" t="s">
        <v>289</v>
      </c>
    </row>
    <row r="7" customFormat="false" ht="15" hidden="false" customHeight="false" outlineLevel="0" collapsed="false">
      <c r="A7" s="9" t="s">
        <v>290</v>
      </c>
      <c r="B7" s="17" t="s">
        <v>291</v>
      </c>
    </row>
    <row r="9" customFormat="false" ht="15" hidden="false" customHeight="false" outlineLevel="0" collapsed="false">
      <c r="A9" s="9" t="s">
        <v>292</v>
      </c>
      <c r="B9" s="17" t="s">
        <v>293</v>
      </c>
    </row>
    <row r="11" customFormat="false" ht="15" hidden="false" customHeight="false" outlineLevel="0" collapsed="false">
      <c r="A11" s="9" t="s">
        <v>24</v>
      </c>
      <c r="B11" s="17" t="s">
        <v>294</v>
      </c>
    </row>
    <row r="13" customFormat="false" ht="28.35" hidden="false" customHeight="false" outlineLevel="0" collapsed="false">
      <c r="A13" s="9" t="s">
        <v>14</v>
      </c>
      <c r="B13" s="17" t="s">
        <v>295</v>
      </c>
    </row>
    <row r="15" customFormat="false" ht="15" hidden="false" customHeight="false" outlineLevel="0" collapsed="false">
      <c r="A15" s="9" t="s">
        <v>296</v>
      </c>
      <c r="B15" s="17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2026-10-22T18:43:38Z</dcterms:created>
  <dc:creator>openpyxl</dc:creator>
  <dc:description/>
  <dc:language>en-US</dc:language>
  <cp:lastModifiedBy/>
  <dcterms:modified xsi:type="dcterms:W3CDTF">2026-10-22T18:43:38Z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